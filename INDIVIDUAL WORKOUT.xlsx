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G26" i="1"/>
  <c r="E21" i="1"/>
  <c r="E20" i="1"/>
  <c r="I45" i="1"/>
  <c r="I44" i="1"/>
  <c r="I43" i="1"/>
  <c r="I41" i="1"/>
  <c r="I40" i="1"/>
  <c r="I39" i="1"/>
  <c r="I38" i="1"/>
  <c r="I36" i="1"/>
  <c r="I35" i="1"/>
  <c r="I34" i="1"/>
  <c r="I33" i="1"/>
  <c r="I31" i="1"/>
  <c r="I30" i="1"/>
  <c r="I29" i="1"/>
  <c r="I28" i="1"/>
  <c r="I26" i="1"/>
  <c r="I25" i="1"/>
  <c r="I24" i="1"/>
  <c r="I21" i="1"/>
  <c r="I20" i="1"/>
  <c r="I19" i="1"/>
  <c r="I18" i="1"/>
  <c r="I23" i="1"/>
  <c r="H45" i="1"/>
  <c r="H44" i="1"/>
  <c r="H43" i="1"/>
  <c r="H41" i="1"/>
  <c r="H40" i="1"/>
  <c r="H39" i="1"/>
  <c r="H38" i="1"/>
  <c r="H36" i="1"/>
  <c r="H35" i="1"/>
  <c r="F35" i="1"/>
  <c r="G35" i="1"/>
  <c r="H34" i="1"/>
  <c r="H33" i="1"/>
  <c r="H31" i="1"/>
  <c r="H30" i="1"/>
  <c r="H29" i="1"/>
  <c r="H28" i="1"/>
  <c r="H25" i="1"/>
  <c r="H24" i="1"/>
  <c r="H23" i="1"/>
  <c r="H21" i="1"/>
  <c r="H20" i="1"/>
  <c r="H19" i="1"/>
  <c r="H18" i="1"/>
  <c r="G45" i="1"/>
  <c r="G44" i="1"/>
  <c r="G43" i="1"/>
  <c r="G41" i="1"/>
  <c r="G40" i="1"/>
  <c r="G39" i="1"/>
  <c r="G38" i="1"/>
  <c r="G36" i="1"/>
  <c r="G34" i="1"/>
  <c r="G33" i="1"/>
  <c r="G31" i="1"/>
  <c r="G30" i="1"/>
  <c r="G29" i="1"/>
  <c r="G28" i="1"/>
  <c r="G25" i="1"/>
  <c r="G24" i="1"/>
  <c r="G23" i="1"/>
  <c r="G21" i="1"/>
  <c r="G20" i="1"/>
  <c r="G19" i="1"/>
  <c r="G18" i="1" l="1"/>
  <c r="F45" i="1"/>
  <c r="F44" i="1"/>
  <c r="F43" i="1"/>
  <c r="F41" i="1"/>
  <c r="F40" i="1"/>
  <c r="F39" i="1"/>
  <c r="F38" i="1"/>
  <c r="F36" i="1"/>
  <c r="F34" i="1"/>
  <c r="F33" i="1"/>
  <c r="F31" i="1"/>
  <c r="F30" i="1"/>
  <c r="F29" i="1"/>
  <c r="F28" i="1"/>
  <c r="F26" i="1"/>
  <c r="F25" i="1"/>
  <c r="F24" i="1"/>
  <c r="F23" i="1"/>
  <c r="F21" i="1"/>
  <c r="F20" i="1"/>
  <c r="F19" i="1"/>
  <c r="F18" i="1"/>
  <c r="E45" i="1"/>
  <c r="E44" i="1"/>
  <c r="E43" i="1"/>
  <c r="E41" i="1"/>
  <c r="E40" i="1"/>
  <c r="E39" i="1"/>
  <c r="E38" i="1"/>
  <c r="E36" i="1"/>
  <c r="E35" i="1"/>
  <c r="E34" i="1"/>
  <c r="E33" i="1"/>
  <c r="E31" i="1"/>
  <c r="E30" i="1"/>
  <c r="E29" i="1"/>
  <c r="E28" i="1"/>
  <c r="E25" i="1"/>
  <c r="E26" i="1"/>
  <c r="E24" i="1"/>
  <c r="E23" i="1"/>
  <c r="E19" i="1"/>
  <c r="E18" i="1"/>
  <c r="D45" i="1"/>
  <c r="D44" i="1"/>
  <c r="D43" i="1"/>
  <c r="D41" i="1"/>
  <c r="D40" i="1"/>
  <c r="D39" i="1"/>
  <c r="D38" i="1"/>
  <c r="D36" i="1"/>
  <c r="D35" i="1"/>
  <c r="D34" i="1"/>
  <c r="D33" i="1"/>
  <c r="D31" i="1"/>
  <c r="D30" i="1"/>
  <c r="D29" i="1"/>
  <c r="D28" i="1"/>
  <c r="D26" i="1"/>
  <c r="D25" i="1"/>
  <c r="D24" i="1"/>
  <c r="D23" i="1"/>
  <c r="D20" i="1"/>
  <c r="D21" i="1"/>
  <c r="D19" i="1"/>
  <c r="D18" i="1"/>
</calcChain>
</file>

<file path=xl/sharedStrings.xml><?xml version="1.0" encoding="utf-8"?>
<sst xmlns="http://schemas.openxmlformats.org/spreadsheetml/2006/main" count="65" uniqueCount="41">
  <si>
    <t>Loreley Lopez</t>
  </si>
  <si>
    <t>5'6</t>
  </si>
  <si>
    <t>Max Date:</t>
  </si>
  <si>
    <t>Multi Press</t>
  </si>
  <si>
    <t>Lat Pull</t>
  </si>
  <si>
    <t>Leg Extension</t>
  </si>
  <si>
    <t>Mid Row</t>
  </si>
  <si>
    <t>Fly Machine</t>
  </si>
  <si>
    <t>Other lifts to be done on your own: 3 sets of 10</t>
  </si>
  <si>
    <t>Bicep Curls</t>
  </si>
  <si>
    <t>Shoulder Press</t>
  </si>
  <si>
    <t>High Pull Down</t>
  </si>
  <si>
    <t>Dumbell Raise</t>
  </si>
  <si>
    <t>Hamstring Curl</t>
  </si>
  <si>
    <t>Quas Ext.</t>
  </si>
  <si>
    <t>Toe Raises</t>
  </si>
  <si>
    <t>Jump Rope:</t>
  </si>
  <si>
    <t>Heavy Rope 2 sers x 50 jumps</t>
  </si>
  <si>
    <t>Light Rope 3 sets of x 50 jumps</t>
  </si>
  <si>
    <t>Leg Press</t>
  </si>
  <si>
    <t>Flys</t>
  </si>
  <si>
    <t>Week #1</t>
  </si>
  <si>
    <t>Week #2</t>
  </si>
  <si>
    <t>Week #4</t>
  </si>
  <si>
    <t>Week #3</t>
  </si>
  <si>
    <t>Week #5</t>
  </si>
  <si>
    <t>Week #6</t>
  </si>
  <si>
    <t>10 reps</t>
  </si>
  <si>
    <t>8 reps</t>
  </si>
  <si>
    <t>9 reps</t>
  </si>
  <si>
    <t>6 reps</t>
  </si>
  <si>
    <t>4 reps</t>
  </si>
  <si>
    <t>2 reps</t>
  </si>
  <si>
    <t>5 reps</t>
  </si>
  <si>
    <t>3 reps</t>
  </si>
  <si>
    <t>1 reps</t>
  </si>
  <si>
    <t>Max (-5)</t>
  </si>
  <si>
    <t>10reps</t>
  </si>
  <si>
    <t>MAX</t>
  </si>
  <si>
    <t>2 sets x</t>
  </si>
  <si>
    <t>50 jumps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</si>
</sst>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Century Gothic"/>
      <family val="2"/>
    </font>
    <font>
      <u/>
      <sz val="11"/>
      <color theme="1"/>
      <name val="Ebrima"/>
    </font>
    <font>
      <sz val="11"/>
      <color theme="1"/>
      <name val="Berlin Sans FB Demi"/>
      <family val="2"/>
    </font>
    <font>
      <sz val="11"/>
      <color theme="1"/>
      <name val="Lucida Sans"/>
      <family val="2"/>
    </font>
    <font>
      <sz val="11"/>
      <color theme="1"/>
      <name val="Arial Black"/>
      <family val="2"/>
    </font>
    <font>
      <sz val="10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workbookViewId="0">
      <selection activeCell="G5" sqref="G5"/>
    </sheetView>
  </sheetViews>
  <sheetFormatPr defaultRowHeight="15" x14ac:dyDescent="0.25"/>
  <cols>
    <col min="4" max="4" width="11.7109375" customWidth="1"/>
    <col min="5" max="5" width="12.28515625" customWidth="1"/>
    <col min="7" max="7" width="15.5703125" customWidth="1"/>
    <col min="8" max="8" width="9.7109375" customWidth="1"/>
    <col min="9" max="10" width="9.7109375" bestFit="1" customWidth="1"/>
  </cols>
  <sheetData>
    <row r="1" spans="1:10" ht="16.5" x14ac:dyDescent="0.3">
      <c r="A1" s="4" t="s">
        <v>0</v>
      </c>
      <c r="H1" s="1">
        <v>44900</v>
      </c>
      <c r="I1" s="1">
        <v>44837</v>
      </c>
      <c r="J1" s="1">
        <v>44788</v>
      </c>
    </row>
    <row r="2" spans="1:10" ht="16.5" x14ac:dyDescent="0.3">
      <c r="D2" s="5" t="s">
        <v>2</v>
      </c>
      <c r="E2" s="1">
        <v>44837</v>
      </c>
      <c r="G2" s="2" t="s">
        <v>3</v>
      </c>
      <c r="H2" s="2">
        <v>57</v>
      </c>
      <c r="I2">
        <v>57</v>
      </c>
      <c r="J2">
        <v>49</v>
      </c>
    </row>
    <row r="3" spans="1:10" ht="16.5" x14ac:dyDescent="0.3">
      <c r="A3" s="4" t="s">
        <v>1</v>
      </c>
      <c r="B3" t="s">
        <v>1</v>
      </c>
      <c r="G3" t="s">
        <v>19</v>
      </c>
      <c r="H3" s="2">
        <v>253</v>
      </c>
      <c r="I3">
        <v>253</v>
      </c>
      <c r="J3">
        <v>213</v>
      </c>
    </row>
    <row r="4" spans="1:10" ht="16.5" x14ac:dyDescent="0.3">
      <c r="A4">
        <v>161</v>
      </c>
      <c r="B4">
        <v>164</v>
      </c>
      <c r="G4" s="2" t="s">
        <v>4</v>
      </c>
      <c r="H4" s="2">
        <v>87</v>
      </c>
      <c r="I4">
        <v>87</v>
      </c>
      <c r="J4">
        <v>65</v>
      </c>
    </row>
    <row r="5" spans="1:10" ht="16.5" x14ac:dyDescent="0.3">
      <c r="G5" s="2" t="s">
        <v>5</v>
      </c>
      <c r="H5" s="2">
        <v>122</v>
      </c>
      <c r="I5">
        <v>82</v>
      </c>
      <c r="J5">
        <v>62</v>
      </c>
    </row>
    <row r="6" spans="1:10" ht="16.5" x14ac:dyDescent="0.3">
      <c r="G6" s="2" t="s">
        <v>6</v>
      </c>
      <c r="H6" s="2">
        <v>91</v>
      </c>
      <c r="I6">
        <v>91</v>
      </c>
      <c r="J6">
        <v>79</v>
      </c>
    </row>
    <row r="7" spans="1:10" ht="16.5" x14ac:dyDescent="0.3">
      <c r="A7" s="3" t="s">
        <v>8</v>
      </c>
      <c r="G7" s="2" t="s">
        <v>7</v>
      </c>
      <c r="H7" s="2">
        <v>57</v>
      </c>
      <c r="I7">
        <v>57</v>
      </c>
      <c r="J7">
        <v>34</v>
      </c>
    </row>
    <row r="8" spans="1:10" x14ac:dyDescent="0.25">
      <c r="A8" t="s">
        <v>9</v>
      </c>
      <c r="C8" t="s">
        <v>13</v>
      </c>
    </row>
    <row r="9" spans="1:10" x14ac:dyDescent="0.25">
      <c r="A9" t="s">
        <v>10</v>
      </c>
      <c r="C9" t="s">
        <v>14</v>
      </c>
    </row>
    <row r="10" spans="1:10" x14ac:dyDescent="0.25">
      <c r="A10" t="s">
        <v>11</v>
      </c>
      <c r="C10" t="s">
        <v>15</v>
      </c>
    </row>
    <row r="11" spans="1:10" x14ac:dyDescent="0.25">
      <c r="A11" t="s">
        <v>12</v>
      </c>
    </row>
    <row r="13" spans="1:10" x14ac:dyDescent="0.25">
      <c r="A13" t="s">
        <v>16</v>
      </c>
    </row>
    <row r="14" spans="1:10" x14ac:dyDescent="0.25">
      <c r="B14" t="s">
        <v>17</v>
      </c>
      <c r="C14" t="s">
        <v>39</v>
      </c>
      <c r="D14" t="s">
        <v>40</v>
      </c>
    </row>
    <row r="15" spans="1:10" x14ac:dyDescent="0.25">
      <c r="B15" t="s">
        <v>18</v>
      </c>
    </row>
    <row r="17" spans="1:9" ht="18.75" x14ac:dyDescent="0.4">
      <c r="D17" s="6" t="s">
        <v>3</v>
      </c>
      <c r="E17" s="7" t="s">
        <v>19</v>
      </c>
      <c r="F17" s="6" t="s">
        <v>4</v>
      </c>
      <c r="G17" s="6" t="s">
        <v>5</v>
      </c>
      <c r="H17" s="6" t="s">
        <v>6</v>
      </c>
      <c r="I17" s="6" t="s">
        <v>20</v>
      </c>
    </row>
    <row r="18" spans="1:9" x14ac:dyDescent="0.25">
      <c r="A18" s="8" t="s">
        <v>21</v>
      </c>
      <c r="C18" t="s">
        <v>27</v>
      </c>
      <c r="D18">
        <f>H2*0.6</f>
        <v>34.199999999999996</v>
      </c>
      <c r="E18">
        <f>H3*0.6</f>
        <v>151.79999999999998</v>
      </c>
      <c r="F18">
        <f>H4*0.6</f>
        <v>52.199999999999996</v>
      </c>
      <c r="G18">
        <f>H5*0.6</f>
        <v>73.2</v>
      </c>
      <c r="H18">
        <f>H6*0.6</f>
        <v>54.6</v>
      </c>
      <c r="I18">
        <f>H7*0.6</f>
        <v>34.199999999999996</v>
      </c>
    </row>
    <row r="19" spans="1:9" x14ac:dyDescent="0.25">
      <c r="C19" t="s">
        <v>27</v>
      </c>
      <c r="D19">
        <f>H2*0.7</f>
        <v>39.9</v>
      </c>
      <c r="E19">
        <f>H3*0.65</f>
        <v>164.45000000000002</v>
      </c>
      <c r="F19">
        <f>H4*0.65</f>
        <v>56.550000000000004</v>
      </c>
      <c r="G19">
        <f>H5*0.65</f>
        <v>79.3</v>
      </c>
      <c r="H19">
        <f>H6*0.65</f>
        <v>59.15</v>
      </c>
      <c r="I19">
        <f>H7*0.65</f>
        <v>37.050000000000004</v>
      </c>
    </row>
    <row r="20" spans="1:9" x14ac:dyDescent="0.25">
      <c r="C20" t="s">
        <v>37</v>
      </c>
      <c r="D20">
        <f>H2*0.7</f>
        <v>39.9</v>
      </c>
      <c r="E20">
        <f>H3*0.7</f>
        <v>177.1</v>
      </c>
      <c r="F20">
        <f>H4*0.7</f>
        <v>60.9</v>
      </c>
      <c r="G20">
        <f>H5*0.7</f>
        <v>85.399999999999991</v>
      </c>
      <c r="H20">
        <f>H6*0.7</f>
        <v>63.699999999999996</v>
      </c>
      <c r="I20">
        <f>H7*0.7</f>
        <v>39.9</v>
      </c>
    </row>
    <row r="21" spans="1:9" x14ac:dyDescent="0.25">
      <c r="C21" t="s">
        <v>27</v>
      </c>
      <c r="D21">
        <f>H2*0.75</f>
        <v>42.75</v>
      </c>
      <c r="E21">
        <f>H3*0.75</f>
        <v>189.75</v>
      </c>
      <c r="F21">
        <f>H4*0.75</f>
        <v>65.25</v>
      </c>
      <c r="G21">
        <f>H5*0.75</f>
        <v>91.5</v>
      </c>
      <c r="H21">
        <f>H6*0.75</f>
        <v>68.25</v>
      </c>
      <c r="I21">
        <f>H7*0.75</f>
        <v>42.75</v>
      </c>
    </row>
    <row r="23" spans="1:9" x14ac:dyDescent="0.25">
      <c r="A23" s="8" t="s">
        <v>22</v>
      </c>
      <c r="C23" t="s">
        <v>28</v>
      </c>
      <c r="D23">
        <f>H2*0.65</f>
        <v>37.050000000000004</v>
      </c>
      <c r="E23">
        <f>H3*0.65</f>
        <v>164.45000000000002</v>
      </c>
      <c r="F23">
        <f>H4*0.65</f>
        <v>56.550000000000004</v>
      </c>
      <c r="G23">
        <f>H5*0.65</f>
        <v>79.3</v>
      </c>
      <c r="H23">
        <f>H6*0.65</f>
        <v>59.15</v>
      </c>
      <c r="I23">
        <f>H7*0.65</f>
        <v>37.050000000000004</v>
      </c>
    </row>
    <row r="24" spans="1:9" x14ac:dyDescent="0.25">
      <c r="C24" t="s">
        <v>28</v>
      </c>
      <c r="D24">
        <f>H2*0.7</f>
        <v>39.9</v>
      </c>
      <c r="E24">
        <f>H3*0.7</f>
        <v>177.1</v>
      </c>
      <c r="F24">
        <f>H4*0.7</f>
        <v>60.9</v>
      </c>
      <c r="G24">
        <f>H5*0.7</f>
        <v>85.399999999999991</v>
      </c>
      <c r="H24">
        <f>H6*0.7</f>
        <v>63.699999999999996</v>
      </c>
      <c r="I24">
        <f>H7*0.7</f>
        <v>39.9</v>
      </c>
    </row>
    <row r="25" spans="1:9" x14ac:dyDescent="0.25">
      <c r="C25" t="s">
        <v>28</v>
      </c>
      <c r="D25">
        <f>H2*0.75</f>
        <v>42.75</v>
      </c>
      <c r="E25">
        <f>H3*0.75</f>
        <v>189.75</v>
      </c>
      <c r="F25">
        <f>H4*0.75</f>
        <v>65.25</v>
      </c>
      <c r="G25">
        <f>H5*0.75</f>
        <v>91.5</v>
      </c>
      <c r="H25">
        <f>H6*0.75</f>
        <v>68.25</v>
      </c>
      <c r="I25">
        <f>H7*0.75</f>
        <v>42.75</v>
      </c>
    </row>
    <row r="26" spans="1:9" x14ac:dyDescent="0.25">
      <c r="C26" t="s">
        <v>29</v>
      </c>
      <c r="D26">
        <f>H2*0.8</f>
        <v>45.6</v>
      </c>
      <c r="E26">
        <f>H3*0.8</f>
        <v>202.4</v>
      </c>
      <c r="F26">
        <f>H4*0.8</f>
        <v>69.600000000000009</v>
      </c>
      <c r="G26">
        <f>H5*0.8</f>
        <v>97.600000000000009</v>
      </c>
      <c r="H26">
        <f>H6*0.8</f>
        <v>72.8</v>
      </c>
      <c r="I26">
        <f>H7*0.8</f>
        <v>45.6</v>
      </c>
    </row>
    <row r="28" spans="1:9" x14ac:dyDescent="0.25">
      <c r="A28" s="8" t="s">
        <v>24</v>
      </c>
      <c r="C28" t="s">
        <v>30</v>
      </c>
      <c r="D28">
        <f>H2*0.7</f>
        <v>39.9</v>
      </c>
      <c r="E28">
        <f>H3*0.7</f>
        <v>177.1</v>
      </c>
      <c r="F28">
        <f>H4*0.7</f>
        <v>60.9</v>
      </c>
      <c r="G28">
        <f>H5*0.7</f>
        <v>85.399999999999991</v>
      </c>
      <c r="H28">
        <f>H6*0.7</f>
        <v>63.699999999999996</v>
      </c>
      <c r="I28">
        <f>H7*0.7</f>
        <v>39.9</v>
      </c>
    </row>
    <row r="29" spans="1:9" x14ac:dyDescent="0.25">
      <c r="C29" t="s">
        <v>30</v>
      </c>
      <c r="D29">
        <f>H2*0.75</f>
        <v>42.75</v>
      </c>
      <c r="E29">
        <f>H3*0.75</f>
        <v>189.75</v>
      </c>
      <c r="F29">
        <f>H4*0.75</f>
        <v>65.25</v>
      </c>
      <c r="G29">
        <f>H5*0.75</f>
        <v>91.5</v>
      </c>
      <c r="H29">
        <f>H6*0.75</f>
        <v>68.25</v>
      </c>
      <c r="I29">
        <f>H7*0.75</f>
        <v>42.75</v>
      </c>
    </row>
    <row r="30" spans="1:9" x14ac:dyDescent="0.25">
      <c r="C30" t="s">
        <v>30</v>
      </c>
      <c r="D30">
        <f>H2*0.8</f>
        <v>45.6</v>
      </c>
      <c r="E30">
        <f>H3*0.8</f>
        <v>202.4</v>
      </c>
      <c r="F30">
        <f>H4*0.8</f>
        <v>69.600000000000009</v>
      </c>
      <c r="G30">
        <f>H5*0.8</f>
        <v>97.600000000000009</v>
      </c>
      <c r="H30">
        <f>H6*0.8</f>
        <v>72.8</v>
      </c>
      <c r="I30">
        <f>H7*0.8</f>
        <v>45.6</v>
      </c>
    </row>
    <row r="31" spans="1:9" x14ac:dyDescent="0.25">
      <c r="C31" t="s">
        <v>30</v>
      </c>
      <c r="D31">
        <f>H2*0.85</f>
        <v>48.449999999999996</v>
      </c>
      <c r="E31">
        <f>H3*0.85</f>
        <v>215.04999999999998</v>
      </c>
      <c r="F31">
        <f>H4*0.85</f>
        <v>73.95</v>
      </c>
      <c r="G31">
        <f>H5*0.85</f>
        <v>103.7</v>
      </c>
      <c r="H31">
        <f>H6*0.85</f>
        <v>77.349999999999994</v>
      </c>
      <c r="I31">
        <f>H7*0.85</f>
        <v>48.449999999999996</v>
      </c>
    </row>
    <row r="33" spans="1:9" x14ac:dyDescent="0.25">
      <c r="A33" s="8" t="s">
        <v>23</v>
      </c>
      <c r="C33" t="s">
        <v>30</v>
      </c>
      <c r="D33">
        <f>H2*0.75</f>
        <v>42.75</v>
      </c>
      <c r="E33">
        <f>H3*0.75</f>
        <v>189.75</v>
      </c>
      <c r="F33">
        <f>H4*0.75</f>
        <v>65.25</v>
      </c>
      <c r="G33">
        <f>H5*0.75</f>
        <v>91.5</v>
      </c>
      <c r="H33">
        <f>H6*0.75</f>
        <v>68.25</v>
      </c>
      <c r="I33">
        <f>H7*0.75</f>
        <v>42.75</v>
      </c>
    </row>
    <row r="34" spans="1:9" x14ac:dyDescent="0.25">
      <c r="C34" t="s">
        <v>31</v>
      </c>
      <c r="D34">
        <f>H2*0.8</f>
        <v>45.6</v>
      </c>
      <c r="E34">
        <f>H3*0.8</f>
        <v>202.4</v>
      </c>
      <c r="F34">
        <f>H4*0.8</f>
        <v>69.600000000000009</v>
      </c>
      <c r="G34">
        <f>H5*0.8</f>
        <v>97.600000000000009</v>
      </c>
      <c r="H34">
        <f>H6*0.8</f>
        <v>72.8</v>
      </c>
      <c r="I34">
        <f>H7*0.8</f>
        <v>45.6</v>
      </c>
    </row>
    <row r="35" spans="1:9" x14ac:dyDescent="0.25">
      <c r="C35" t="s">
        <v>31</v>
      </c>
      <c r="D35">
        <f>H2*0.85</f>
        <v>48.449999999999996</v>
      </c>
      <c r="E35">
        <f>H3*0.85</f>
        <v>215.04999999999998</v>
      </c>
      <c r="F35">
        <f>H4*0.85</f>
        <v>73.95</v>
      </c>
      <c r="G35">
        <f>H5*0.85</f>
        <v>103.7</v>
      </c>
      <c r="H35">
        <f>H6*0.85</f>
        <v>77.349999999999994</v>
      </c>
      <c r="I35">
        <f>H7*0.85</f>
        <v>48.449999999999996</v>
      </c>
    </row>
    <row r="36" spans="1:9" x14ac:dyDescent="0.25">
      <c r="C36" t="s">
        <v>31</v>
      </c>
      <c r="D36">
        <f>H2*0.9</f>
        <v>51.300000000000004</v>
      </c>
      <c r="E36">
        <f>H3*0.9</f>
        <v>227.70000000000002</v>
      </c>
      <c r="F36">
        <f>H4*0.9</f>
        <v>78.3</v>
      </c>
      <c r="G36">
        <f>H5*0.9</f>
        <v>109.8</v>
      </c>
      <c r="H36">
        <f>H6*0.9</f>
        <v>81.900000000000006</v>
      </c>
      <c r="I36">
        <f>H7*0.9</f>
        <v>51.300000000000004</v>
      </c>
    </row>
    <row r="38" spans="1:9" x14ac:dyDescent="0.25">
      <c r="A38" s="8" t="s">
        <v>25</v>
      </c>
      <c r="C38" t="s">
        <v>30</v>
      </c>
      <c r="D38">
        <f>H2*0.8</f>
        <v>45.6</v>
      </c>
      <c r="E38">
        <f>H3*0.8</f>
        <v>202.4</v>
      </c>
      <c r="F38">
        <f>H4*0.8</f>
        <v>69.600000000000009</v>
      </c>
      <c r="G38">
        <f>H5*0.8</f>
        <v>97.600000000000009</v>
      </c>
      <c r="H38">
        <f>H6*0.8</f>
        <v>72.8</v>
      </c>
      <c r="I38">
        <f>H7*0.8</f>
        <v>45.6</v>
      </c>
    </row>
    <row r="39" spans="1:9" x14ac:dyDescent="0.25">
      <c r="C39" t="s">
        <v>31</v>
      </c>
      <c r="D39">
        <f>H2*0.85</f>
        <v>48.449999999999996</v>
      </c>
      <c r="E39">
        <f>H3*0.85</f>
        <v>215.04999999999998</v>
      </c>
      <c r="F39">
        <f>H4*0.85</f>
        <v>73.95</v>
      </c>
      <c r="G39">
        <f>H5*0.85</f>
        <v>103.7</v>
      </c>
      <c r="H39">
        <f>H6*0.85</f>
        <v>77.349999999999994</v>
      </c>
      <c r="I39">
        <f>H7*0.85</f>
        <v>48.449999999999996</v>
      </c>
    </row>
    <row r="40" spans="1:9" x14ac:dyDescent="0.25">
      <c r="C40" t="s">
        <v>32</v>
      </c>
      <c r="D40">
        <f>H2*0.9</f>
        <v>51.300000000000004</v>
      </c>
      <c r="E40">
        <f>H3*0.9</f>
        <v>227.70000000000002</v>
      </c>
      <c r="F40">
        <f>H4*0.9</f>
        <v>78.3</v>
      </c>
      <c r="G40">
        <f>H5*0.9</f>
        <v>109.8</v>
      </c>
      <c r="H40">
        <f>H6*0.9</f>
        <v>81.900000000000006</v>
      </c>
      <c r="I40">
        <f>H7*0.9</f>
        <v>51.300000000000004</v>
      </c>
    </row>
    <row r="41" spans="1:9" x14ac:dyDescent="0.25">
      <c r="C41" t="s">
        <v>32</v>
      </c>
      <c r="D41">
        <f>H2*0.95</f>
        <v>54.15</v>
      </c>
      <c r="E41">
        <f>H3*0.95</f>
        <v>240.35</v>
      </c>
      <c r="F41">
        <f>H4*0.95</f>
        <v>82.649999999999991</v>
      </c>
      <c r="G41">
        <f>H5*0.95</f>
        <v>115.89999999999999</v>
      </c>
      <c r="H41">
        <f>H6*0.95</f>
        <v>86.45</v>
      </c>
      <c r="I41">
        <f>H7*0.95</f>
        <v>54.15</v>
      </c>
    </row>
    <row r="43" spans="1:9" x14ac:dyDescent="0.25">
      <c r="A43" s="8" t="s">
        <v>26</v>
      </c>
      <c r="C43" t="s">
        <v>33</v>
      </c>
      <c r="D43">
        <f>H2*0.65</f>
        <v>37.050000000000004</v>
      </c>
      <c r="E43">
        <f>H3*0.65</f>
        <v>164.45000000000002</v>
      </c>
      <c r="F43">
        <f>H4*0.65</f>
        <v>56.550000000000004</v>
      </c>
      <c r="G43">
        <f>H5*0.65</f>
        <v>79.3</v>
      </c>
      <c r="H43">
        <f>H6*0.65</f>
        <v>59.15</v>
      </c>
      <c r="I43">
        <f>H7*0.65</f>
        <v>37.050000000000004</v>
      </c>
    </row>
    <row r="44" spans="1:9" x14ac:dyDescent="0.25">
      <c r="C44" t="s">
        <v>34</v>
      </c>
      <c r="D44">
        <f>H2*0.75</f>
        <v>42.75</v>
      </c>
      <c r="E44">
        <f>H3*0.75</f>
        <v>189.75</v>
      </c>
      <c r="F44">
        <f>H4*0.75</f>
        <v>65.25</v>
      </c>
      <c r="G44">
        <f>H5*0.75</f>
        <v>91.5</v>
      </c>
      <c r="H44">
        <f>H6*0.75</f>
        <v>68.25</v>
      </c>
      <c r="I44">
        <f>H7*0.75</f>
        <v>42.75</v>
      </c>
    </row>
    <row r="45" spans="1:9" x14ac:dyDescent="0.25">
      <c r="C45" t="s">
        <v>35</v>
      </c>
      <c r="D45">
        <f>H2*0.95</f>
        <v>54.15</v>
      </c>
      <c r="E45">
        <f>H3*0.95</f>
        <v>240.35</v>
      </c>
      <c r="F45">
        <f>H4*0.95</f>
        <v>82.649999999999991</v>
      </c>
      <c r="G45">
        <f>H5*0.95</f>
        <v>115.89999999999999</v>
      </c>
      <c r="H45">
        <f>H6*0.95</f>
        <v>86.45</v>
      </c>
      <c r="I45">
        <f>H7*0.95</f>
        <v>54.15</v>
      </c>
    </row>
    <row r="46" spans="1:9" x14ac:dyDescent="0.25">
      <c r="C46" t="s">
        <v>36</v>
      </c>
      <c r="D46" t="s">
        <v>38</v>
      </c>
      <c r="E46" t="s">
        <v>38</v>
      </c>
      <c r="F46" t="s">
        <v>38</v>
      </c>
      <c r="G46" t="s">
        <v>38</v>
      </c>
      <c r="H46" t="s">
        <v>38</v>
      </c>
      <c r="I46" t="s">
        <v>38</v>
      </c>
    </row>
  </sheetData>
  <pageMargins left="0.7" right="0.7" top="0.75" bottom="0.75" header="0.3" footer="0.3"/>
  <pageSetup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Speedway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Loreley Lopez Arias</dc:creator>
  <cp:lastModifiedBy>Loreley Lopez Arias</cp:lastModifiedBy>
  <cp:lastPrinted>2022-10-17T12:33:21Z</cp:lastPrinted>
  <dcterms:created xsi:type="dcterms:W3CDTF">2022-08-22T12:31:31Z</dcterms:created>
  <dcterms:modified xsi:type="dcterms:W3CDTF">2022-12-09T13:34:00Z</dcterms:modified>
</cp:coreProperties>
</file>