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F34" i="1"/>
  <c r="F26" i="1"/>
  <c r="F25" i="1"/>
  <c r="F24" i="1" l="1"/>
  <c r="F23" i="1"/>
  <c r="F17" i="1"/>
  <c r="F18" i="1"/>
  <c r="F19" i="1"/>
  <c r="F20" i="1"/>
  <c r="F16" i="1"/>
  <c r="F15" i="1"/>
  <c r="F21" i="1"/>
  <c r="F9" i="1" l="1"/>
  <c r="F6" i="1"/>
  <c r="F11" i="1" l="1"/>
  <c r="F12" i="1"/>
  <c r="F13" i="1"/>
  <c r="F14" i="1"/>
  <c r="F35" i="1"/>
  <c r="F38" i="1"/>
  <c r="F36" i="1"/>
  <c r="F37" i="1"/>
  <c r="F22" i="1"/>
  <c r="F27" i="1"/>
  <c r="F28" i="1"/>
  <c r="F29" i="1"/>
  <c r="F30" i="1"/>
  <c r="F31" i="1"/>
  <c r="F32" i="1"/>
  <c r="F33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10" i="1"/>
  <c r="F8" i="1"/>
  <c r="F7" i="1"/>
  <c r="F5" i="1"/>
</calcChain>
</file>

<file path=xl/sharedStrings.xml><?xml version="1.0" encoding="utf-8"?>
<sst xmlns="http://schemas.openxmlformats.org/spreadsheetml/2006/main" count="112" uniqueCount="78">
  <si>
    <t>Equipment</t>
  </si>
  <si>
    <t>Building</t>
  </si>
  <si>
    <t>Quantity</t>
  </si>
  <si>
    <t>Price</t>
  </si>
  <si>
    <t>Cardio/Muscle</t>
  </si>
  <si>
    <t>Muscles</t>
  </si>
  <si>
    <t>Total Price</t>
  </si>
  <si>
    <t>Loreley Lopez</t>
  </si>
  <si>
    <t>Life Fitness Integrity Treadmill</t>
  </si>
  <si>
    <t>Quadriceps, Hamstrings, Glutes, Calves</t>
  </si>
  <si>
    <t>Cardio</t>
  </si>
  <si>
    <t>True ES700 Elliptical</t>
  </si>
  <si>
    <t>Gluteals, Hamstrings, Quadricepss, Pectoralis Major, Biceps, Triceps</t>
  </si>
  <si>
    <t>Gauntlet 8GX Series Stepmill</t>
  </si>
  <si>
    <t>Freemotion U.22.9 Upright Bike</t>
  </si>
  <si>
    <t>Glutes, Quadriceps, Hamstrings, Lower Back, Calves</t>
  </si>
  <si>
    <t>Calves, Hamstrings, Quadriceps</t>
  </si>
  <si>
    <t>Body Solid Commercial Assisted Chin Dip Machine</t>
  </si>
  <si>
    <t>Muscle</t>
  </si>
  <si>
    <t>Biceps, Triceps, Pectorslis Major, Upper and Lower Back</t>
  </si>
  <si>
    <t>Inflight Fitness Pec Fly/Rear Delt Machine</t>
  </si>
  <si>
    <t>Pectoralis Muscles</t>
  </si>
  <si>
    <t>Inflight Fitness Multipress</t>
  </si>
  <si>
    <t>Pectoralis Muscles, Deltoids, Triceps. Biceps</t>
  </si>
  <si>
    <t>Legend Fitness SelectEDGE Lat/Low Row Machine</t>
  </si>
  <si>
    <t>Latissimus Dorsi, Upper Back</t>
  </si>
  <si>
    <t>BodyKore Seated Leg Press-GR614</t>
  </si>
  <si>
    <t>Glutes, Quadriceps, Hamstrings, Calves</t>
  </si>
  <si>
    <t>Nautilus Inspiration Leg Extension</t>
  </si>
  <si>
    <t>Quadriceps, Hamstrings, Glutes</t>
  </si>
  <si>
    <t>Pectoralis Major, Biceps, Anterior Forearms</t>
  </si>
  <si>
    <t>Troy 5-100lbs 12 Sided 20 Pair Dumbell Set with Rack</t>
  </si>
  <si>
    <t>All Muscles (depends on exercise)</t>
  </si>
  <si>
    <t>French Fitness Olympic Weight Plate Set 350 lbs</t>
  </si>
  <si>
    <t>Pro Clubline Commercial Bench Press/Squat Rack Combo</t>
  </si>
  <si>
    <t>WM72 Wall Mount 72"</t>
  </si>
  <si>
    <t>Champro Monsters 18 Ball Cart</t>
  </si>
  <si>
    <t>Its balls</t>
  </si>
  <si>
    <t>2500 N High School RD, 8,405,338 SqFt</t>
  </si>
  <si>
    <t>Heat Row</t>
  </si>
  <si>
    <t>Deltoids, Latissimus Dorsi, Quadriceps, Gluteals</t>
  </si>
  <si>
    <t>Elite RB Recumbent Bike</t>
  </si>
  <si>
    <t>TKO AirRaid Runner Curved Treadmill</t>
  </si>
  <si>
    <t>Multi-Adjust Incline Cardio Workout Rowing Machine</t>
  </si>
  <si>
    <t>IC5 Indoor Cycle Spin Bike</t>
  </si>
  <si>
    <t>Sole CC81 Cardio Climber</t>
  </si>
  <si>
    <t>Recumbent Elliptical Ipsilateral Cross Trainer</t>
  </si>
  <si>
    <t xml:space="preserve">Stairmaster Airfit Upper Body Ergometer </t>
  </si>
  <si>
    <t>Glutes, Pectoralis Major, Biceps, Triceps. Amterior Forearms</t>
  </si>
  <si>
    <t>SciFit Recumebent Stair Stepper</t>
  </si>
  <si>
    <t>Quadriceps, Calves, Gluteals, Rectus Abdominals, Shoulders, Forearms</t>
  </si>
  <si>
    <t>Assault Bike Elite</t>
  </si>
  <si>
    <t>Quadriceps, Hamstrings, Glutes, Calves, Triceps, Biceps, Deltoids</t>
  </si>
  <si>
    <t>Obliques, Chest, Forearms, Biceps, Triceps, Glutes, Hamstrings, Quadricep</t>
  </si>
  <si>
    <t>Quadriceps, Hamstrings, Gluteas, Calves, Lower back</t>
  </si>
  <si>
    <t>BodySolid Lying Leg Curl Machine</t>
  </si>
  <si>
    <t>Hamstrings, Quadriceps</t>
  </si>
  <si>
    <t>TKO Bicep and Tricep Curl Machine</t>
  </si>
  <si>
    <t>Biceps, Triceps</t>
  </si>
  <si>
    <t>Fettle Fitness Selectorized Hip Abductor</t>
  </si>
  <si>
    <t>Gluteals, illiopsoas</t>
  </si>
  <si>
    <t>BodyKore Abdominal and Back Extension</t>
  </si>
  <si>
    <t>Gluteals, Hamstrings, Lower Back, Rectus Abdominals, Obliques</t>
  </si>
  <si>
    <t>Legend Fitness SelectEDGE Cable Crossover</t>
  </si>
  <si>
    <t>Upper and Lower Back, Biceps, Triceps, Anterior Forearms, Pectoralisis Major</t>
  </si>
  <si>
    <t>Nautilis Impact Shoulder Press</t>
  </si>
  <si>
    <t>Deltoids, Trapezius, Triceps, Pectoralisis Major</t>
  </si>
  <si>
    <t>Hoist MiSmith Dual Action Smith Machine</t>
  </si>
  <si>
    <t>Quadriceps, Gluteals, Calves</t>
  </si>
  <si>
    <t>TKO Hack Squat and Calf Press Machine</t>
  </si>
  <si>
    <t>Quadriceps, Gluteals, Hamstrings, Calves</t>
  </si>
  <si>
    <t>Triceps, Quadricep, Hamstrings, Gluteals, Calves, Forearms (When playing)</t>
  </si>
  <si>
    <t>Quadriceps, Hamstrings, Glutes, Calves, (When sitting) Pectoralis Major, Rectus Abdominals (Standing)</t>
  </si>
  <si>
    <t>Gluteals, Hamstrings, Quadriceps, Anterior Forearms, Biceps, Pectoralis Major</t>
  </si>
  <si>
    <t>Pectoralis Major,Biceps, Triceps, Latissimus Dorsi, Rectus Abdominals, Obliques</t>
  </si>
  <si>
    <t>Quadriceps, Hamstrings, Gluteas, Calves, Lower back, Anterior Forearms</t>
  </si>
  <si>
    <t>Recumbent Cross Trainer</t>
  </si>
  <si>
    <t>Gluteals, Hamstrings, Quadriceps, Anterior Forearms, Biceps, Triceps,Posteior Forearms, Latissimus Dorsi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</si>
</sst>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rbel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tabSelected="1" topLeftCell="A4" workbookViewId="0">
      <selection sqref="A1:F39"/>
    </sheetView>
  </sheetViews>
  <sheetFormatPr defaultRowHeight="15" x14ac:dyDescent="0.25"/>
  <cols>
    <col min="1" max="1" width="47.5703125" customWidth="1"/>
    <col min="2" max="2" width="14.85546875" customWidth="1"/>
    <col min="3" max="3" width="13.5703125" customWidth="1"/>
    <col min="4" max="4" width="18.5703125" customWidth="1"/>
    <col min="5" max="5" width="91.140625" customWidth="1"/>
    <col min="6" max="6" width="15" style="4" customWidth="1"/>
    <col min="7" max="7" width="16.5703125" customWidth="1"/>
  </cols>
  <sheetData>
    <row r="1" spans="1:7" x14ac:dyDescent="0.25">
      <c r="A1" s="1" t="s">
        <v>7</v>
      </c>
    </row>
    <row r="3" spans="1:7" x14ac:dyDescent="0.25">
      <c r="A3" s="3" t="s">
        <v>0</v>
      </c>
      <c r="B3" s="3" t="s">
        <v>2</v>
      </c>
      <c r="C3" s="3" t="s">
        <v>3</v>
      </c>
      <c r="D3" s="3" t="s">
        <v>1</v>
      </c>
      <c r="E3" s="3" t="s">
        <v>5</v>
      </c>
      <c r="F3" s="5" t="s">
        <v>6</v>
      </c>
      <c r="G3" s="10"/>
    </row>
    <row r="4" spans="1:7" x14ac:dyDescent="0.25">
      <c r="A4" s="3" t="s">
        <v>1</v>
      </c>
      <c r="B4" s="2">
        <v>1</v>
      </c>
      <c r="C4" s="6">
        <v>650000</v>
      </c>
      <c r="D4" s="3" t="s">
        <v>4</v>
      </c>
      <c r="E4" s="2" t="s">
        <v>38</v>
      </c>
      <c r="F4" s="9">
        <v>650000</v>
      </c>
      <c r="G4" s="10"/>
    </row>
    <row r="5" spans="1:7" x14ac:dyDescent="0.25">
      <c r="A5" s="7" t="s">
        <v>8</v>
      </c>
      <c r="B5" s="2">
        <v>2</v>
      </c>
      <c r="C5" s="6">
        <v>7869</v>
      </c>
      <c r="D5" s="2" t="s">
        <v>10</v>
      </c>
      <c r="E5" s="2" t="s">
        <v>9</v>
      </c>
      <c r="F5" s="9">
        <f t="shared" ref="F5:F10" si="0">B5*C5</f>
        <v>15738</v>
      </c>
      <c r="G5" s="10"/>
    </row>
    <row r="6" spans="1:7" x14ac:dyDescent="0.25">
      <c r="A6" s="7" t="s">
        <v>11</v>
      </c>
      <c r="B6" s="2">
        <v>2</v>
      </c>
      <c r="C6" s="6">
        <v>4799</v>
      </c>
      <c r="D6" s="2" t="s">
        <v>10</v>
      </c>
      <c r="E6" s="2" t="s">
        <v>12</v>
      </c>
      <c r="F6" s="9">
        <f>B6*C6</f>
        <v>9598</v>
      </c>
      <c r="G6" s="10"/>
    </row>
    <row r="7" spans="1:7" x14ac:dyDescent="0.25">
      <c r="A7" s="7" t="s">
        <v>13</v>
      </c>
      <c r="B7" s="2">
        <v>2</v>
      </c>
      <c r="C7" s="6">
        <v>8889</v>
      </c>
      <c r="D7" s="2" t="s">
        <v>10</v>
      </c>
      <c r="E7" s="2" t="s">
        <v>15</v>
      </c>
      <c r="F7" s="9">
        <f t="shared" si="0"/>
        <v>17778</v>
      </c>
      <c r="G7" s="10"/>
    </row>
    <row r="8" spans="1:7" x14ac:dyDescent="0.25">
      <c r="A8" s="7" t="s">
        <v>14</v>
      </c>
      <c r="B8" s="2">
        <v>2</v>
      </c>
      <c r="C8" s="6">
        <v>6999</v>
      </c>
      <c r="D8" s="2" t="s">
        <v>10</v>
      </c>
      <c r="E8" s="2" t="s">
        <v>16</v>
      </c>
      <c r="F8" s="9">
        <f t="shared" si="0"/>
        <v>13998</v>
      </c>
      <c r="G8" s="10"/>
    </row>
    <row r="9" spans="1:7" x14ac:dyDescent="0.25">
      <c r="A9" s="7" t="s">
        <v>17</v>
      </c>
      <c r="B9" s="2">
        <v>4</v>
      </c>
      <c r="C9" s="6">
        <v>4371</v>
      </c>
      <c r="D9" s="2" t="s">
        <v>18</v>
      </c>
      <c r="E9" s="2" t="s">
        <v>19</v>
      </c>
      <c r="F9" s="9">
        <f>B9*C9</f>
        <v>17484</v>
      </c>
      <c r="G9" s="10"/>
    </row>
    <row r="10" spans="1:7" x14ac:dyDescent="0.25">
      <c r="A10" s="7" t="s">
        <v>20</v>
      </c>
      <c r="B10" s="2">
        <v>4</v>
      </c>
      <c r="C10" s="6">
        <v>3535</v>
      </c>
      <c r="D10" s="2" t="s">
        <v>18</v>
      </c>
      <c r="E10" s="2" t="s">
        <v>21</v>
      </c>
      <c r="F10" s="9">
        <f t="shared" si="0"/>
        <v>14140</v>
      </c>
      <c r="G10" s="10"/>
    </row>
    <row r="11" spans="1:7" x14ac:dyDescent="0.25">
      <c r="A11" s="7" t="s">
        <v>22</v>
      </c>
      <c r="B11" s="2">
        <v>4</v>
      </c>
      <c r="C11" s="6">
        <v>4298</v>
      </c>
      <c r="D11" s="2" t="s">
        <v>18</v>
      </c>
      <c r="E11" s="2" t="s">
        <v>23</v>
      </c>
      <c r="F11" s="9">
        <f t="shared" ref="F11:F55" si="1">B11*C11</f>
        <v>17192</v>
      </c>
      <c r="G11" s="10"/>
    </row>
    <row r="12" spans="1:7" x14ac:dyDescent="0.25">
      <c r="A12" s="11" t="s">
        <v>24</v>
      </c>
      <c r="B12" s="2">
        <v>4</v>
      </c>
      <c r="C12" s="6">
        <v>4799</v>
      </c>
      <c r="D12" s="2" t="s">
        <v>18</v>
      </c>
      <c r="E12" s="2" t="s">
        <v>25</v>
      </c>
      <c r="F12" s="9">
        <f t="shared" si="1"/>
        <v>19196</v>
      </c>
      <c r="G12" s="10"/>
    </row>
    <row r="13" spans="1:7" x14ac:dyDescent="0.25">
      <c r="A13" s="7" t="s">
        <v>26</v>
      </c>
      <c r="B13" s="2">
        <v>4</v>
      </c>
      <c r="C13" s="6">
        <v>3100</v>
      </c>
      <c r="D13" s="2" t="s">
        <v>18</v>
      </c>
      <c r="E13" s="2" t="s">
        <v>27</v>
      </c>
      <c r="F13" s="9">
        <f t="shared" si="1"/>
        <v>12400</v>
      </c>
      <c r="G13" s="10"/>
    </row>
    <row r="14" spans="1:7" x14ac:dyDescent="0.25">
      <c r="A14" s="7" t="s">
        <v>28</v>
      </c>
      <c r="B14" s="2">
        <v>4</v>
      </c>
      <c r="C14" s="6">
        <v>5999</v>
      </c>
      <c r="D14" s="2" t="s">
        <v>18</v>
      </c>
      <c r="E14" s="2" t="s">
        <v>29</v>
      </c>
      <c r="F14" s="9">
        <f t="shared" si="1"/>
        <v>23996</v>
      </c>
      <c r="G14" s="10"/>
    </row>
    <row r="15" spans="1:7" x14ac:dyDescent="0.25">
      <c r="A15" s="12" t="s">
        <v>34</v>
      </c>
      <c r="B15" s="2">
        <v>4</v>
      </c>
      <c r="C15" s="6">
        <v>1202</v>
      </c>
      <c r="D15" s="2" t="s">
        <v>18</v>
      </c>
      <c r="E15" s="2" t="s">
        <v>30</v>
      </c>
      <c r="F15" s="9">
        <f>B15*C15</f>
        <v>4808</v>
      </c>
      <c r="G15" s="10"/>
    </row>
    <row r="16" spans="1:7" x14ac:dyDescent="0.25">
      <c r="A16" s="7" t="s">
        <v>39</v>
      </c>
      <c r="B16" s="2">
        <v>4</v>
      </c>
      <c r="C16" s="6">
        <v>2999</v>
      </c>
      <c r="D16" s="2" t="s">
        <v>10</v>
      </c>
      <c r="E16" s="2" t="s">
        <v>40</v>
      </c>
      <c r="F16" s="9">
        <f>B16*C16</f>
        <v>11996</v>
      </c>
      <c r="G16" s="10"/>
    </row>
    <row r="17" spans="1:7" x14ac:dyDescent="0.25">
      <c r="A17" s="7" t="s">
        <v>41</v>
      </c>
      <c r="B17" s="2">
        <v>2</v>
      </c>
      <c r="C17" s="6">
        <v>1799</v>
      </c>
      <c r="D17" s="2" t="s">
        <v>10</v>
      </c>
      <c r="E17" s="2" t="s">
        <v>54</v>
      </c>
      <c r="F17" s="9">
        <f t="shared" ref="F17:F20" si="2">B17*C17</f>
        <v>3598</v>
      </c>
    </row>
    <row r="18" spans="1:7" x14ac:dyDescent="0.25">
      <c r="A18" s="7" t="s">
        <v>42</v>
      </c>
      <c r="B18" s="2">
        <v>2</v>
      </c>
      <c r="C18" s="6">
        <v>4509</v>
      </c>
      <c r="D18" s="2" t="s">
        <v>10</v>
      </c>
      <c r="E18" s="2" t="s">
        <v>48</v>
      </c>
      <c r="F18" s="9">
        <f t="shared" si="2"/>
        <v>9018</v>
      </c>
    </row>
    <row r="19" spans="1:7" x14ac:dyDescent="0.25">
      <c r="A19" s="7" t="s">
        <v>43</v>
      </c>
      <c r="B19" s="2">
        <v>2</v>
      </c>
      <c r="C19" s="6">
        <v>1789</v>
      </c>
      <c r="D19" s="2" t="s">
        <v>10</v>
      </c>
      <c r="E19" s="2" t="s">
        <v>53</v>
      </c>
      <c r="F19" s="9">
        <f t="shared" si="2"/>
        <v>3578</v>
      </c>
      <c r="G19" s="8"/>
    </row>
    <row r="20" spans="1:7" x14ac:dyDescent="0.25">
      <c r="A20" s="7" t="s">
        <v>44</v>
      </c>
      <c r="B20" s="2">
        <v>2</v>
      </c>
      <c r="C20" s="6">
        <v>2698</v>
      </c>
      <c r="D20" s="2" t="s">
        <v>10</v>
      </c>
      <c r="E20" s="2" t="s">
        <v>72</v>
      </c>
      <c r="F20" s="9">
        <f t="shared" si="2"/>
        <v>5396</v>
      </c>
      <c r="G20" s="8"/>
    </row>
    <row r="21" spans="1:7" x14ac:dyDescent="0.25">
      <c r="A21" s="7" t="s">
        <v>45</v>
      </c>
      <c r="B21" s="2">
        <v>2</v>
      </c>
      <c r="C21" s="6">
        <v>1299</v>
      </c>
      <c r="D21" s="2" t="s">
        <v>10</v>
      </c>
      <c r="E21" s="2" t="s">
        <v>75</v>
      </c>
      <c r="F21" s="9">
        <f>B21*C21</f>
        <v>2598</v>
      </c>
    </row>
    <row r="22" spans="1:7" x14ac:dyDescent="0.25">
      <c r="A22" s="7" t="s">
        <v>46</v>
      </c>
      <c r="B22" s="2">
        <v>2</v>
      </c>
      <c r="C22" s="6">
        <v>3395</v>
      </c>
      <c r="D22" s="2" t="s">
        <v>10</v>
      </c>
      <c r="E22" s="2" t="s">
        <v>73</v>
      </c>
      <c r="F22" s="9">
        <f t="shared" si="1"/>
        <v>6790</v>
      </c>
    </row>
    <row r="23" spans="1:7" x14ac:dyDescent="0.25">
      <c r="A23" s="7" t="s">
        <v>47</v>
      </c>
      <c r="B23" s="2">
        <v>2</v>
      </c>
      <c r="C23" s="6">
        <v>3695</v>
      </c>
      <c r="D23" s="2" t="s">
        <v>10</v>
      </c>
      <c r="E23" s="2" t="s">
        <v>74</v>
      </c>
      <c r="F23" s="9">
        <f t="shared" si="1"/>
        <v>7390</v>
      </c>
      <c r="G23" s="8"/>
    </row>
    <row r="24" spans="1:7" x14ac:dyDescent="0.25">
      <c r="A24" s="7" t="s">
        <v>76</v>
      </c>
      <c r="B24" s="2">
        <v>2</v>
      </c>
      <c r="C24" s="6">
        <v>3395</v>
      </c>
      <c r="D24" s="2" t="s">
        <v>10</v>
      </c>
      <c r="E24" s="2" t="s">
        <v>77</v>
      </c>
      <c r="F24" s="9">
        <f t="shared" si="1"/>
        <v>6790</v>
      </c>
      <c r="G24" s="8"/>
    </row>
    <row r="25" spans="1:7" x14ac:dyDescent="0.25">
      <c r="A25" s="7" t="s">
        <v>49</v>
      </c>
      <c r="B25" s="2">
        <v>2</v>
      </c>
      <c r="C25" s="6">
        <v>8198</v>
      </c>
      <c r="D25" s="2" t="s">
        <v>10</v>
      </c>
      <c r="E25" s="2" t="s">
        <v>50</v>
      </c>
      <c r="F25" s="9">
        <f t="shared" si="1"/>
        <v>16396</v>
      </c>
    </row>
    <row r="26" spans="1:7" x14ac:dyDescent="0.25">
      <c r="A26" s="7" t="s">
        <v>51</v>
      </c>
      <c r="B26" s="2">
        <v>2</v>
      </c>
      <c r="C26" s="6">
        <v>1299</v>
      </c>
      <c r="D26" s="2" t="s">
        <v>10</v>
      </c>
      <c r="E26" s="2" t="s">
        <v>52</v>
      </c>
      <c r="F26" s="9">
        <f t="shared" si="1"/>
        <v>2598</v>
      </c>
    </row>
    <row r="27" spans="1:7" x14ac:dyDescent="0.25">
      <c r="A27" s="7" t="s">
        <v>55</v>
      </c>
      <c r="B27" s="2">
        <v>4</v>
      </c>
      <c r="C27" s="6">
        <v>2790</v>
      </c>
      <c r="D27" s="2" t="s">
        <v>18</v>
      </c>
      <c r="E27" s="2" t="s">
        <v>56</v>
      </c>
      <c r="F27" s="9">
        <f t="shared" si="1"/>
        <v>11160</v>
      </c>
    </row>
    <row r="28" spans="1:7" x14ac:dyDescent="0.25">
      <c r="A28" s="7" t="s">
        <v>57</v>
      </c>
      <c r="B28" s="2">
        <v>4</v>
      </c>
      <c r="C28" s="6">
        <v>2890</v>
      </c>
      <c r="D28" s="2" t="s">
        <v>18</v>
      </c>
      <c r="E28" s="2" t="s">
        <v>58</v>
      </c>
      <c r="F28" s="9">
        <f t="shared" si="1"/>
        <v>11560</v>
      </c>
    </row>
    <row r="29" spans="1:7" x14ac:dyDescent="0.25">
      <c r="A29" s="7" t="s">
        <v>59</v>
      </c>
      <c r="B29" s="2">
        <v>4</v>
      </c>
      <c r="C29" s="6">
        <v>2145</v>
      </c>
      <c r="D29" s="2" t="s">
        <v>18</v>
      </c>
      <c r="E29" s="2" t="s">
        <v>60</v>
      </c>
      <c r="F29" s="9">
        <f t="shared" si="1"/>
        <v>8580</v>
      </c>
    </row>
    <row r="30" spans="1:7" x14ac:dyDescent="0.25">
      <c r="A30" s="7" t="s">
        <v>61</v>
      </c>
      <c r="B30" s="2">
        <v>4</v>
      </c>
      <c r="C30" s="6">
        <v>2750</v>
      </c>
      <c r="D30" s="2" t="s">
        <v>18</v>
      </c>
      <c r="E30" s="2" t="s">
        <v>62</v>
      </c>
      <c r="F30" s="9">
        <f t="shared" si="1"/>
        <v>11000</v>
      </c>
    </row>
    <row r="31" spans="1:7" x14ac:dyDescent="0.25">
      <c r="A31" s="7" t="s">
        <v>63</v>
      </c>
      <c r="B31" s="2">
        <v>3</v>
      </c>
      <c r="C31" s="6">
        <v>5899</v>
      </c>
      <c r="D31" s="2" t="s">
        <v>18</v>
      </c>
      <c r="E31" s="2" t="s">
        <v>64</v>
      </c>
      <c r="F31" s="9">
        <f t="shared" si="1"/>
        <v>17697</v>
      </c>
    </row>
    <row r="32" spans="1:7" x14ac:dyDescent="0.25">
      <c r="A32" s="7" t="s">
        <v>65</v>
      </c>
      <c r="B32" s="2">
        <v>4</v>
      </c>
      <c r="C32" s="6">
        <v>3999</v>
      </c>
      <c r="D32" s="2" t="s">
        <v>18</v>
      </c>
      <c r="E32" s="2" t="s">
        <v>66</v>
      </c>
      <c r="F32" s="9">
        <f t="shared" si="1"/>
        <v>15996</v>
      </c>
    </row>
    <row r="33" spans="1:6" x14ac:dyDescent="0.25">
      <c r="A33" s="7" t="s">
        <v>67</v>
      </c>
      <c r="B33" s="2">
        <v>3</v>
      </c>
      <c r="C33" s="6">
        <v>3198</v>
      </c>
      <c r="D33" s="2" t="s">
        <v>18</v>
      </c>
      <c r="E33" s="2" t="s">
        <v>68</v>
      </c>
      <c r="F33" s="9">
        <f>B33*C33</f>
        <v>9594</v>
      </c>
    </row>
    <row r="34" spans="1:6" x14ac:dyDescent="0.25">
      <c r="A34" s="7" t="s">
        <v>69</v>
      </c>
      <c r="B34" s="2">
        <v>4</v>
      </c>
      <c r="C34" s="6">
        <v>3590</v>
      </c>
      <c r="D34" s="2" t="s">
        <v>5</v>
      </c>
      <c r="E34" s="2" t="s">
        <v>70</v>
      </c>
      <c r="F34" s="9">
        <f>B34*C34</f>
        <v>14360</v>
      </c>
    </row>
    <row r="35" spans="1:6" x14ac:dyDescent="0.25">
      <c r="A35" s="7" t="s">
        <v>35</v>
      </c>
      <c r="B35" s="2">
        <v>2</v>
      </c>
      <c r="C35" s="6">
        <v>1799</v>
      </c>
      <c r="D35" s="2" t="s">
        <v>10</v>
      </c>
      <c r="E35" s="2" t="s">
        <v>71</v>
      </c>
      <c r="F35" s="9">
        <f>B38*C38</f>
        <v>3402</v>
      </c>
    </row>
    <row r="36" spans="1:6" x14ac:dyDescent="0.25">
      <c r="A36" s="7" t="s">
        <v>36</v>
      </c>
      <c r="B36" s="2">
        <v>2</v>
      </c>
      <c r="C36" s="6">
        <v>279</v>
      </c>
      <c r="D36" s="2" t="s">
        <v>10</v>
      </c>
      <c r="E36" s="2" t="s">
        <v>37</v>
      </c>
      <c r="F36" s="9">
        <f>B35*C36</f>
        <v>558</v>
      </c>
    </row>
    <row r="37" spans="1:6" x14ac:dyDescent="0.25">
      <c r="A37" s="7" t="s">
        <v>31</v>
      </c>
      <c r="B37" s="2">
        <v>2</v>
      </c>
      <c r="C37" s="6">
        <v>7299</v>
      </c>
      <c r="D37" s="2" t="s">
        <v>18</v>
      </c>
      <c r="E37" s="2" t="s">
        <v>32</v>
      </c>
      <c r="F37" s="9">
        <f>B16*C16</f>
        <v>11996</v>
      </c>
    </row>
    <row r="38" spans="1:6" x14ac:dyDescent="0.25">
      <c r="A38" s="7" t="s">
        <v>33</v>
      </c>
      <c r="B38" s="2">
        <v>4</v>
      </c>
      <c r="C38" s="6">
        <v>850.5</v>
      </c>
      <c r="D38" s="2" t="s">
        <v>18</v>
      </c>
      <c r="E38" s="2" t="s">
        <v>32</v>
      </c>
      <c r="F38" s="9">
        <f>B36*C35</f>
        <v>3598</v>
      </c>
    </row>
    <row r="39" spans="1:6" x14ac:dyDescent="0.25">
      <c r="F39" s="4">
        <f>SUM(F4:F38)</f>
        <v>1011977</v>
      </c>
    </row>
    <row r="42" spans="1:6" x14ac:dyDescent="0.25">
      <c r="F42" s="4">
        <f t="shared" si="1"/>
        <v>0</v>
      </c>
    </row>
    <row r="43" spans="1:6" x14ac:dyDescent="0.25">
      <c r="F43" s="4">
        <f t="shared" si="1"/>
        <v>0</v>
      </c>
    </row>
    <row r="44" spans="1:6" x14ac:dyDescent="0.25">
      <c r="F44" s="4">
        <f t="shared" si="1"/>
        <v>0</v>
      </c>
    </row>
    <row r="45" spans="1:6" x14ac:dyDescent="0.25">
      <c r="F45" s="4">
        <f t="shared" si="1"/>
        <v>0</v>
      </c>
    </row>
    <row r="46" spans="1:6" x14ac:dyDescent="0.25">
      <c r="F46" s="4">
        <f t="shared" si="1"/>
        <v>0</v>
      </c>
    </row>
    <row r="47" spans="1:6" x14ac:dyDescent="0.25">
      <c r="F47" s="4">
        <f t="shared" si="1"/>
        <v>0</v>
      </c>
    </row>
    <row r="48" spans="1:6" x14ac:dyDescent="0.25">
      <c r="F48" s="4">
        <f t="shared" si="1"/>
        <v>0</v>
      </c>
    </row>
    <row r="49" spans="6:6" x14ac:dyDescent="0.25">
      <c r="F49" s="4">
        <f t="shared" si="1"/>
        <v>0</v>
      </c>
    </row>
    <row r="50" spans="6:6" x14ac:dyDescent="0.25">
      <c r="F50" s="4">
        <f t="shared" si="1"/>
        <v>0</v>
      </c>
    </row>
    <row r="51" spans="6:6" x14ac:dyDescent="0.25">
      <c r="F51" s="4">
        <f t="shared" si="1"/>
        <v>0</v>
      </c>
    </row>
    <row r="52" spans="6:6" x14ac:dyDescent="0.25">
      <c r="F52" s="4">
        <f t="shared" si="1"/>
        <v>0</v>
      </c>
    </row>
    <row r="53" spans="6:6" x14ac:dyDescent="0.25">
      <c r="F53" s="4">
        <f t="shared" si="1"/>
        <v>0</v>
      </c>
    </row>
    <row r="54" spans="6:6" x14ac:dyDescent="0.25">
      <c r="F54" s="4">
        <f t="shared" si="1"/>
        <v>0</v>
      </c>
    </row>
    <row r="55" spans="6:6" x14ac:dyDescent="0.25">
      <c r="F55" s="4">
        <f t="shared" si="1"/>
        <v>0</v>
      </c>
    </row>
  </sheetData>
  <pageMargins left="0.7" right="0.7" top="0.75" bottom="0.75" header="0.3" footer="0.3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Speedway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Loreley Lopez Arias</dc:creator>
  <cp:lastModifiedBy>Loreley Lopez Arias</cp:lastModifiedBy>
  <cp:lastPrinted>2023-02-24T13:56:15Z</cp:lastPrinted>
  <dcterms:created xsi:type="dcterms:W3CDTF">2023-02-16T13:11:54Z</dcterms:created>
  <dcterms:modified xsi:type="dcterms:W3CDTF">2023-02-24T14:03:17Z</dcterms:modified>
</cp:coreProperties>
</file>